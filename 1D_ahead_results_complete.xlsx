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nue\Desktop\CS_Prep_AED\EE\D__horiz_1__step_1\"/>
    </mc:Choice>
  </mc:AlternateContent>
  <xr:revisionPtr revIDLastSave="0" documentId="13_ncr:1_{8383DF61-3D44-4323-94DA-A12BEDF1C3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8" i="1" l="1"/>
  <c r="AB8" i="1"/>
  <c r="AA8" i="1"/>
  <c r="Z8" i="1"/>
  <c r="Y8" i="1"/>
  <c r="X8" i="1"/>
  <c r="W8" i="1"/>
  <c r="AC7" i="1"/>
  <c r="AB7" i="1"/>
  <c r="AA7" i="1"/>
  <c r="Z7" i="1"/>
  <c r="Y7" i="1"/>
  <c r="X7" i="1"/>
  <c r="W7" i="1"/>
  <c r="AC6" i="1"/>
  <c r="AB6" i="1"/>
  <c r="AA6" i="1"/>
  <c r="Z6" i="1"/>
  <c r="Y6" i="1"/>
  <c r="X6" i="1"/>
  <c r="W6" i="1"/>
  <c r="AC5" i="1"/>
  <c r="AB5" i="1"/>
  <c r="AA5" i="1"/>
  <c r="Z5" i="1"/>
  <c r="Y5" i="1"/>
  <c r="X5" i="1"/>
  <c r="W5" i="1"/>
  <c r="AC4" i="1"/>
  <c r="AB4" i="1"/>
  <c r="AA4" i="1"/>
  <c r="Z4" i="1"/>
  <c r="Y4" i="1"/>
  <c r="X4" i="1"/>
  <c r="W4" i="1"/>
  <c r="AC3" i="1"/>
  <c r="AB3" i="1"/>
  <c r="AA3" i="1"/>
  <c r="Z3" i="1"/>
  <c r="Y3" i="1"/>
  <c r="X3" i="1"/>
  <c r="W3" i="1"/>
  <c r="AC2" i="1"/>
  <c r="AB2" i="1"/>
  <c r="AA2" i="1"/>
  <c r="Z2" i="1"/>
  <c r="Y2" i="1"/>
  <c r="X2" i="1"/>
  <c r="W2" i="1"/>
</calcChain>
</file>

<file path=xl/sharedStrings.xml><?xml version="1.0" encoding="utf-8"?>
<sst xmlns="http://schemas.openxmlformats.org/spreadsheetml/2006/main" count="66" uniqueCount="45">
  <si>
    <t>Model</t>
  </si>
  <si>
    <t>Variables</t>
  </si>
  <si>
    <t>y</t>
  </si>
  <si>
    <t>P</t>
  </si>
  <si>
    <t>MAE_mean</t>
  </si>
  <si>
    <t>MAE_std</t>
  </si>
  <si>
    <t>MAPE_mean</t>
  </si>
  <si>
    <t>MAPE_std</t>
  </si>
  <si>
    <t>SMAPE_mean</t>
  </si>
  <si>
    <t>SMAPE_std</t>
  </si>
  <si>
    <t>MSE_mean</t>
  </si>
  <si>
    <t>MSE_std</t>
  </si>
  <si>
    <t>RMSE_mean</t>
  </si>
  <si>
    <t>RMSE_std</t>
  </si>
  <si>
    <t>R2_mean</t>
  </si>
  <si>
    <t>R2_std</t>
  </si>
  <si>
    <t>TPC</t>
  </si>
  <si>
    <t>MACs</t>
  </si>
  <si>
    <t>Metrics Path</t>
  </si>
  <si>
    <t>Complexity Path</t>
  </si>
  <si>
    <t>MLP</t>
  </si>
  <si>
    <t>x</t>
  </si>
  <si>
    <t>EE/D__horiz_1__step_1/endogenous/iteration_results/mlp/metrics_stat_100it_mlp.csv</t>
  </si>
  <si>
    <t>EE/D__horiz_1__step_1/endogenous/model_complexity/mlp_complexity.csv</t>
  </si>
  <si>
    <t>y+P</t>
  </si>
  <si>
    <t>EE/D__horiz_1__step_1/exog_Profile_d/iteration_results/mlp/metrics_stat_100it_mlp.csv</t>
  </si>
  <si>
    <t>EE/D__horiz_1__step_1/exog_Profile_d/model_complexity/mlp_complexity.csv</t>
  </si>
  <si>
    <t>NBEATSx</t>
  </si>
  <si>
    <t>EE/D__horiz_1__step_1/endogenous/iteration_results/nbeatsx/metrics_stat_100it_nbeatsx.csv</t>
  </si>
  <si>
    <t>EE/D__horiz_1__step_1/endogenous/model_complexity/nbeatsx_complexity.csv</t>
  </si>
  <si>
    <t>EE/D__horiz_1__step_1/exog_Profile_d/iteration_results/nbeatsx/metrics_stat_100it_nbeatsx.csv</t>
  </si>
  <si>
    <t>EE/D__horiz_1__step_1/exog_Profile_d/model_complexity/nbeatsx_complexity.csv</t>
  </si>
  <si>
    <t>NHITS</t>
  </si>
  <si>
    <t>EE/D__horiz_1__step_1/endogenous/iteration_results/nhits/metrics_stat_100it_nhits.csv</t>
  </si>
  <si>
    <t>EE/D__horiz_1__step_1/endogenous/model_complexity/nhits_complexity.csv</t>
  </si>
  <si>
    <t>EE/D__horiz_1__step_1/exog_Profile_d/iteration_results/nhits/metrics_stat_100it_nhits.csv</t>
  </si>
  <si>
    <t>EE/D__horiz_1__step_1/exog_Profile_d/model_complexity/nhits_complexity.csv</t>
  </si>
  <si>
    <t>KAN</t>
  </si>
  <si>
    <t>EE/D__horiz_1__step_1/exog_Profile_d/iteration_results/kan/metrics_stat_100it_kan.csv</t>
  </si>
  <si>
    <t>EE/D__horiz_1__step_1/exog_Profile_d/model_complexity/kan_complexity.csv</t>
  </si>
  <si>
    <t>MAE (kWh)</t>
  </si>
  <si>
    <t>MAPE (%)</t>
  </si>
  <si>
    <t>SMAPE (%)</t>
  </si>
  <si>
    <t>RMSE (kWh)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</si>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</sst>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F4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" fontId="0" fillId="0" borderId="0" xfId="0" applyNumberFormat="1"/>
    <xf numFmtId="0" fontId="0" fillId="2" borderId="0" xfId="0" applyFill="1"/>
    <xf numFmtId="1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CF4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8"/>
  <sheetViews>
    <sheetView tabSelected="1" topLeftCell="B1" workbookViewId="0">
      <selection activeCell="W1" sqref="W1:AC1"/>
    </sheetView>
  </sheetViews>
  <sheetFormatPr defaultRowHeight="14.4" x14ac:dyDescent="0.3"/>
  <cols>
    <col min="1" max="1" width="0" hidden="1" customWidth="1"/>
    <col min="4" max="22" width="0" hidden="1" customWidth="1"/>
    <col min="23" max="23" width="13.109375" bestFit="1" customWidth="1"/>
    <col min="24" max="24" width="10" bestFit="1" customWidth="1"/>
    <col min="25" max="25" width="10.33203125" bestFit="1" customWidth="1"/>
    <col min="26" max="27" width="12" bestFit="1" customWidth="1"/>
    <col min="28" max="29" width="8" bestFit="1" customWidth="1"/>
  </cols>
  <sheetData>
    <row r="1" spans="1:29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W1" s="2" t="s">
        <v>40</v>
      </c>
      <c r="X1" s="2" t="s">
        <v>41</v>
      </c>
      <c r="Y1" s="2" t="s">
        <v>42</v>
      </c>
      <c r="Z1" s="2" t="s">
        <v>43</v>
      </c>
      <c r="AA1" s="2" t="s">
        <v>44</v>
      </c>
      <c r="AB1" s="2" t="s">
        <v>16</v>
      </c>
      <c r="AC1" s="2" t="s">
        <v>17</v>
      </c>
    </row>
    <row r="2" spans="1:29" x14ac:dyDescent="0.3">
      <c r="A2" s="1">
        <v>0</v>
      </c>
      <c r="B2" t="s">
        <v>20</v>
      </c>
      <c r="C2" t="s">
        <v>2</v>
      </c>
      <c r="D2" t="s">
        <v>21</v>
      </c>
      <c r="F2">
        <v>82.542000000000002</v>
      </c>
      <c r="G2">
        <v>1.4041999999999999</v>
      </c>
      <c r="H2">
        <v>6.5316999999999998</v>
      </c>
      <c r="I2">
        <v>0.1174</v>
      </c>
      <c r="J2">
        <v>6.2542</v>
      </c>
      <c r="K2">
        <v>0.10299999999999999</v>
      </c>
      <c r="L2">
        <v>17353.186600000001</v>
      </c>
      <c r="M2">
        <v>567.05029999999999</v>
      </c>
      <c r="N2">
        <v>131.71420000000001</v>
      </c>
      <c r="O2">
        <v>2.1425000000000001</v>
      </c>
      <c r="P2">
        <v>0.83799999999999997</v>
      </c>
      <c r="Q2">
        <v>5.3E-3</v>
      </c>
      <c r="R2">
        <v>114145</v>
      </c>
      <c r="S2">
        <v>113448</v>
      </c>
      <c r="T2" t="s">
        <v>22</v>
      </c>
      <c r="U2" t="s">
        <v>23</v>
      </c>
      <c r="W2" t="str">
        <f>_xlfn.CONCAT(TEXT(F2,"0.000"), " ± ", TEXT(G2,"0.000"))</f>
        <v>82.542 ± 1.404</v>
      </c>
      <c r="X2" t="str">
        <f>_xlfn.CONCAT(TEXT(H2,"0.00"), " ± ", TEXT(I2,"0.00"))</f>
        <v>6.53 ± 0.12</v>
      </c>
      <c r="Y2" t="str">
        <f>_xlfn.CONCAT(TEXT(J2,"0.00"), " ± ", TEXT(K2,"0.00"))</f>
        <v>6.25 ± 0.10</v>
      </c>
      <c r="Z2" t="str">
        <f>_xlfn.CONCAT(TEXT(N2,"0.00"), " ± ", TEXT(O2,"0.00"))</f>
        <v>131.71 ± 2.14</v>
      </c>
      <c r="AA2" t="str">
        <f>_xlfn.CONCAT(TEXT(P2,"0.000"), " ± ", TEXT(Q2,"0.000"))</f>
        <v>0.838 ± 0.005</v>
      </c>
      <c r="AB2" s="5">
        <f>R2</f>
        <v>114145</v>
      </c>
      <c r="AC2" s="5">
        <f>S2</f>
        <v>113448</v>
      </c>
    </row>
    <row r="3" spans="1:29" x14ac:dyDescent="0.3">
      <c r="A3" s="1">
        <v>1</v>
      </c>
      <c r="B3" t="s">
        <v>20</v>
      </c>
      <c r="C3" t="s">
        <v>24</v>
      </c>
      <c r="D3" t="s">
        <v>21</v>
      </c>
      <c r="E3" t="s">
        <v>21</v>
      </c>
      <c r="F3">
        <v>70.135999999999996</v>
      </c>
      <c r="G3">
        <v>1.1351</v>
      </c>
      <c r="H3">
        <v>5.3517000000000001</v>
      </c>
      <c r="I3">
        <v>8.6800000000000002E-2</v>
      </c>
      <c r="J3">
        <v>5.2708000000000004</v>
      </c>
      <c r="K3">
        <v>8.5500000000000007E-2</v>
      </c>
      <c r="L3">
        <v>12608.333699999999</v>
      </c>
      <c r="M3">
        <v>391.66410000000002</v>
      </c>
      <c r="N3">
        <v>112.2734</v>
      </c>
      <c r="O3">
        <v>1.7443</v>
      </c>
      <c r="P3">
        <v>0.88229999999999997</v>
      </c>
      <c r="Q3">
        <v>3.7000000000000002E-3</v>
      </c>
      <c r="R3">
        <v>130852</v>
      </c>
      <c r="S3">
        <v>130047</v>
      </c>
      <c r="T3" t="s">
        <v>25</v>
      </c>
      <c r="U3" t="s">
        <v>26</v>
      </c>
      <c r="W3" t="str">
        <f t="shared" ref="W3:W8" si="0">_xlfn.CONCAT(TEXT(F3,"0.000"), " ± ", TEXT(G3,"0.000"))</f>
        <v>70.136 ± 1.135</v>
      </c>
      <c r="X3" t="str">
        <f t="shared" ref="X3:X8" si="1">_xlfn.CONCAT(TEXT(H3,"0.00"), " ± ", TEXT(I3,"0.00"))</f>
        <v>5.35 ± 0.09</v>
      </c>
      <c r="Y3" t="str">
        <f t="shared" ref="Y3:Y8" si="2">_xlfn.CONCAT(TEXT(J3,"0.00"), " ± ", TEXT(K3,"0.00"))</f>
        <v>5.27 ± 0.09</v>
      </c>
      <c r="Z3" t="str">
        <f t="shared" ref="Z3:Z8" si="3">_xlfn.CONCAT(TEXT(N3,"0.00"), " ± ", TEXT(O3,"0.00"))</f>
        <v>112.27 ± 1.74</v>
      </c>
      <c r="AA3" t="str">
        <f t="shared" ref="AA3:AA8" si="4">_xlfn.CONCAT(TEXT(P3,"0.000"), " ± ", TEXT(Q3,"0.000"))</f>
        <v>0.882 ± 0.004</v>
      </c>
      <c r="AB3" s="3">
        <f t="shared" ref="AB3:AC8" si="5">R3</f>
        <v>130852</v>
      </c>
      <c r="AC3" s="3">
        <f t="shared" si="5"/>
        <v>130047</v>
      </c>
    </row>
    <row r="4" spans="1:29" x14ac:dyDescent="0.3">
      <c r="A4" s="1">
        <v>2</v>
      </c>
      <c r="B4" t="s">
        <v>27</v>
      </c>
      <c r="C4" t="s">
        <v>2</v>
      </c>
      <c r="D4" t="s">
        <v>21</v>
      </c>
      <c r="F4">
        <v>76.471000000000004</v>
      </c>
      <c r="G4">
        <v>0.51670000000000005</v>
      </c>
      <c r="H4">
        <v>6.0781999999999998</v>
      </c>
      <c r="I4">
        <v>4.58E-2</v>
      </c>
      <c r="J4">
        <v>5.7846000000000002</v>
      </c>
      <c r="K4">
        <v>3.7400000000000003E-2</v>
      </c>
      <c r="L4">
        <v>15532.926100000001</v>
      </c>
      <c r="M4">
        <v>219.52010000000001</v>
      </c>
      <c r="N4">
        <v>124.6281</v>
      </c>
      <c r="O4">
        <v>0.88139999999999996</v>
      </c>
      <c r="P4">
        <v>0.85499999999999998</v>
      </c>
      <c r="Q4">
        <v>2E-3</v>
      </c>
      <c r="R4">
        <v>812568</v>
      </c>
      <c r="S4">
        <v>810496</v>
      </c>
      <c r="T4" t="s">
        <v>28</v>
      </c>
      <c r="U4" t="s">
        <v>29</v>
      </c>
      <c r="W4" t="str">
        <f t="shared" si="0"/>
        <v>76.471 ± 0.517</v>
      </c>
      <c r="X4" t="str">
        <f t="shared" si="1"/>
        <v>6.08 ± 0.05</v>
      </c>
      <c r="Y4" t="str">
        <f t="shared" si="2"/>
        <v>5.78 ± 0.04</v>
      </c>
      <c r="Z4" t="str">
        <f t="shared" si="3"/>
        <v>124.63 ± 0.88</v>
      </c>
      <c r="AA4" t="str">
        <f t="shared" si="4"/>
        <v>0.855 ± 0.002</v>
      </c>
      <c r="AB4" s="3">
        <f t="shared" si="5"/>
        <v>812568</v>
      </c>
      <c r="AC4" s="3">
        <f t="shared" si="5"/>
        <v>810496</v>
      </c>
    </row>
    <row r="5" spans="1:29" x14ac:dyDescent="0.3">
      <c r="A5" s="1">
        <v>3</v>
      </c>
      <c r="B5" t="s">
        <v>27</v>
      </c>
      <c r="C5" t="s">
        <v>24</v>
      </c>
      <c r="D5" t="s">
        <v>21</v>
      </c>
      <c r="E5" t="s">
        <v>21</v>
      </c>
      <c r="F5">
        <v>67.2727</v>
      </c>
      <c r="G5">
        <v>0.74870000000000003</v>
      </c>
      <c r="H5">
        <v>5.1577000000000002</v>
      </c>
      <c r="I5">
        <v>7.2300000000000003E-2</v>
      </c>
      <c r="J5">
        <v>5.0667999999999997</v>
      </c>
      <c r="K5">
        <v>6.1199999999999997E-2</v>
      </c>
      <c r="L5">
        <v>11615.857400000001</v>
      </c>
      <c r="M5">
        <v>251.01849999999999</v>
      </c>
      <c r="N5">
        <v>107.77070000000001</v>
      </c>
      <c r="O5">
        <v>1.1620999999999999</v>
      </c>
      <c r="P5">
        <v>0.89159999999999995</v>
      </c>
      <c r="Q5">
        <v>2.3E-3</v>
      </c>
      <c r="R5">
        <v>1651231</v>
      </c>
      <c r="S5">
        <v>1647104</v>
      </c>
      <c r="T5" t="s">
        <v>30</v>
      </c>
      <c r="U5" t="s">
        <v>31</v>
      </c>
      <c r="W5" t="str">
        <f t="shared" si="0"/>
        <v>67.273 ± 0.749</v>
      </c>
      <c r="X5" t="str">
        <f t="shared" si="1"/>
        <v>5.16 ± 0.07</v>
      </c>
      <c r="Y5" t="str">
        <f t="shared" si="2"/>
        <v>5.07 ± 0.06</v>
      </c>
      <c r="Z5" t="str">
        <f t="shared" si="3"/>
        <v>107.77 ± 1.16</v>
      </c>
      <c r="AA5" t="str">
        <f t="shared" si="4"/>
        <v>0.892 ± 0.002</v>
      </c>
      <c r="AB5" s="3">
        <f t="shared" si="5"/>
        <v>1651231</v>
      </c>
      <c r="AC5" s="3">
        <f t="shared" si="5"/>
        <v>1647104</v>
      </c>
    </row>
    <row r="6" spans="1:29" x14ac:dyDescent="0.3">
      <c r="A6" s="1">
        <v>4</v>
      </c>
      <c r="B6" t="s">
        <v>32</v>
      </c>
      <c r="C6" t="s">
        <v>2</v>
      </c>
      <c r="D6" t="s">
        <v>21</v>
      </c>
      <c r="F6">
        <v>77.1828</v>
      </c>
      <c r="G6">
        <v>1.3089</v>
      </c>
      <c r="H6">
        <v>6.1135999999999999</v>
      </c>
      <c r="I6">
        <v>0.1201</v>
      </c>
      <c r="J6">
        <v>5.8720999999999997</v>
      </c>
      <c r="K6">
        <v>0.1142</v>
      </c>
      <c r="L6">
        <v>15609.2228</v>
      </c>
      <c r="M6">
        <v>543.82420000000002</v>
      </c>
      <c r="N6">
        <v>124.9182</v>
      </c>
      <c r="O6">
        <v>2.1738</v>
      </c>
      <c r="P6">
        <v>0.85429999999999995</v>
      </c>
      <c r="Q6">
        <v>5.1000000000000004E-3</v>
      </c>
      <c r="R6">
        <v>2426443</v>
      </c>
      <c r="S6">
        <v>2424832</v>
      </c>
      <c r="T6" t="s">
        <v>33</v>
      </c>
      <c r="U6" t="s">
        <v>34</v>
      </c>
      <c r="W6" t="str">
        <f t="shared" si="0"/>
        <v>77.183 ± 1.309</v>
      </c>
      <c r="X6" t="str">
        <f t="shared" si="1"/>
        <v>6.11 ± 0.12</v>
      </c>
      <c r="Y6" t="str">
        <f t="shared" si="2"/>
        <v>5.87 ± 0.11</v>
      </c>
      <c r="Z6" t="str">
        <f t="shared" si="3"/>
        <v>124.92 ± 2.17</v>
      </c>
      <c r="AA6" t="str">
        <f t="shared" si="4"/>
        <v>0.854 ± 0.005</v>
      </c>
      <c r="AB6" s="3">
        <f t="shared" si="5"/>
        <v>2426443</v>
      </c>
      <c r="AC6" s="3">
        <f t="shared" si="5"/>
        <v>2424832</v>
      </c>
    </row>
    <row r="7" spans="1:29" x14ac:dyDescent="0.3">
      <c r="A7" s="1">
        <v>5</v>
      </c>
      <c r="B7" t="s">
        <v>32</v>
      </c>
      <c r="C7" t="s">
        <v>24</v>
      </c>
      <c r="D7" t="s">
        <v>21</v>
      </c>
      <c r="E7" t="s">
        <v>21</v>
      </c>
      <c r="F7">
        <v>67.958600000000004</v>
      </c>
      <c r="G7">
        <v>1.1137999999999999</v>
      </c>
      <c r="H7">
        <v>5.2190000000000003</v>
      </c>
      <c r="I7">
        <v>9.9099999999999994E-2</v>
      </c>
      <c r="J7">
        <v>5.1395999999999997</v>
      </c>
      <c r="K7">
        <v>9.5500000000000002E-2</v>
      </c>
      <c r="L7">
        <v>11924.5401</v>
      </c>
      <c r="M7">
        <v>320.39620000000002</v>
      </c>
      <c r="N7">
        <v>109.18989999999999</v>
      </c>
      <c r="O7">
        <v>1.4573</v>
      </c>
      <c r="P7">
        <v>0.88870000000000005</v>
      </c>
      <c r="Q7">
        <v>3.0000000000000001E-3</v>
      </c>
      <c r="R7">
        <v>2483302</v>
      </c>
      <c r="S7">
        <v>2481795</v>
      </c>
      <c r="T7" t="s">
        <v>35</v>
      </c>
      <c r="U7" t="s">
        <v>36</v>
      </c>
      <c r="W7" t="str">
        <f t="shared" si="0"/>
        <v>67.959 ± 1.114</v>
      </c>
      <c r="X7" t="str">
        <f t="shared" si="1"/>
        <v>5.22 ± 0.10</v>
      </c>
      <c r="Y7" t="str">
        <f t="shared" si="2"/>
        <v>5.14 ± 0.10</v>
      </c>
      <c r="Z7" t="str">
        <f t="shared" si="3"/>
        <v>109.19 ± 1.46</v>
      </c>
      <c r="AA7" t="str">
        <f t="shared" si="4"/>
        <v>0.889 ± 0.003</v>
      </c>
      <c r="AB7" s="3">
        <f t="shared" si="5"/>
        <v>2483302</v>
      </c>
      <c r="AC7" s="3">
        <f t="shared" si="5"/>
        <v>2481795</v>
      </c>
    </row>
    <row r="8" spans="1:29" x14ac:dyDescent="0.3">
      <c r="A8" s="1">
        <v>9</v>
      </c>
      <c r="B8" t="s">
        <v>37</v>
      </c>
      <c r="C8" t="s">
        <v>24</v>
      </c>
      <c r="D8" t="s">
        <v>21</v>
      </c>
      <c r="E8" t="s">
        <v>21</v>
      </c>
      <c r="F8">
        <v>66.257900000000006</v>
      </c>
      <c r="G8">
        <v>0.50509999999999999</v>
      </c>
      <c r="H8">
        <v>5.0998000000000001</v>
      </c>
      <c r="I8">
        <v>4.8300000000000003E-2</v>
      </c>
      <c r="J8">
        <v>5.0206</v>
      </c>
      <c r="K8">
        <v>4.6300000000000001E-2</v>
      </c>
      <c r="L8">
        <v>11167.3086</v>
      </c>
      <c r="M8">
        <v>136.10400000000001</v>
      </c>
      <c r="N8">
        <v>105.6735</v>
      </c>
      <c r="O8">
        <v>0.64349999999999996</v>
      </c>
      <c r="P8">
        <v>0.89580000000000004</v>
      </c>
      <c r="Q8">
        <v>1.2999999999999999E-3</v>
      </c>
      <c r="R8">
        <v>300220</v>
      </c>
      <c r="S8">
        <v>0</v>
      </c>
      <c r="T8" t="s">
        <v>38</v>
      </c>
      <c r="U8" t="s">
        <v>39</v>
      </c>
      <c r="W8" s="4" t="str">
        <f t="shared" si="0"/>
        <v>66.258 ± 0.505</v>
      </c>
      <c r="X8" s="4" t="str">
        <f t="shared" si="1"/>
        <v>5.10 ± 0.05</v>
      </c>
      <c r="Y8" s="4" t="str">
        <f t="shared" si="2"/>
        <v>5.02 ± 0.05</v>
      </c>
      <c r="Z8" s="4" t="str">
        <f t="shared" si="3"/>
        <v>105.67 ± 0.64</v>
      </c>
      <c r="AA8" s="4" t="str">
        <f t="shared" si="4"/>
        <v>0.896 ± 0.001</v>
      </c>
      <c r="AB8" s="3">
        <f t="shared" si="5"/>
        <v>300220</v>
      </c>
      <c r="AC8" s="3">
        <f t="shared" si="5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Manuel Xavier Marques Lopes</cp:lastModifiedBy>
  <dcterms:created xsi:type="dcterms:W3CDTF">2026-05-27T10:59:23Z</dcterms:created>
  <dcterms:modified xsi:type="dcterms:W3CDTF">2026-05-27T11:09:13Z</dcterms:modified>
</cp:coreProperties>
</file>